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iram T\Downloads\"/>
    </mc:Choice>
  </mc:AlternateContent>
  <xr:revisionPtr revIDLastSave="0" documentId="13_ncr:1_{0C2969C0-67DF-4460-85F9-59298E316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d_Data" sheetId="1" r:id="rId1"/>
    <sheet name="Quant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<sst xmlns="http://schemas.openxmlformats.org/spreadsheetml/2006/main" count="184" uniqueCount="110">
  <si>
    <t>Fund_ID</t>
  </si>
  <si>
    <t>Fund_Name</t>
  </si>
  <si>
    <t>Fund_Manager</t>
  </si>
  <si>
    <t>Fund_Domicile</t>
  </si>
  <si>
    <t>Year_Launched</t>
  </si>
  <si>
    <t>Fund_Size_AUM_USD</t>
  </si>
  <si>
    <t>Asset_Class</t>
  </si>
  <si>
    <t>Fund_Type</t>
  </si>
  <si>
    <t>Primary_Impact_Theme</t>
  </si>
  <si>
    <t>Target_Geographies</t>
  </si>
  <si>
    <t>ESG_Frameworks_Used</t>
  </si>
  <si>
    <t>Impact_Frameworks_Used</t>
  </si>
  <si>
    <t>External_Labels</t>
  </si>
  <si>
    <t>Impact_Reporting_Frequency</t>
  </si>
  <si>
    <t>Target_Return_%</t>
  </si>
  <si>
    <t>Net_IRR_%</t>
  </si>
  <si>
    <t>Gross_IRR_%</t>
  </si>
  <si>
    <t>TVPI</t>
  </si>
  <si>
    <t>DPI</t>
  </si>
  <si>
    <t>Fund_Status</t>
  </si>
  <si>
    <t>Data_Quality</t>
  </si>
  <si>
    <t>Refined_Impact_Score</t>
  </si>
  <si>
    <t>Refined_Governance_Score</t>
  </si>
  <si>
    <t>Refined_Measurement_Score</t>
  </si>
  <si>
    <t>Refined_Financial_Transparency_Score</t>
  </si>
  <si>
    <t>Refined_Total_Score</t>
  </si>
  <si>
    <t>Refined_Tier</t>
  </si>
  <si>
    <t>F001</t>
  </si>
  <si>
    <t>Triodos Microfinance Fund</t>
  </si>
  <si>
    <t>Triodos IM</t>
  </si>
  <si>
    <t>Netherlands</t>
  </si>
  <si>
    <t>Private Debt</t>
  </si>
  <si>
    <t>FoF+Direct</t>
  </si>
  <si>
    <t>Financial Inclusion</t>
  </si>
  <si>
    <t>Emerging Markets</t>
  </si>
  <si>
    <t>SFDR Art 9</t>
  </si>
  <si>
    <t>IRIS+,GIIN</t>
  </si>
  <si>
    <t>Yes</t>
  </si>
  <si>
    <t>Annual</t>
  </si>
  <si>
    <t>Active</t>
  </si>
  <si>
    <t>High</t>
  </si>
  <si>
    <t>Moderate Transparency</t>
  </si>
  <si>
    <t>F002</t>
  </si>
  <si>
    <t>Schroder ISF European Equity Impact</t>
  </si>
  <si>
    <t>Schroders</t>
  </si>
  <si>
    <t>Luxembourg</t>
  </si>
  <si>
    <t>Listed Equity</t>
  </si>
  <si>
    <t>Direct</t>
  </si>
  <si>
    <t>Social+Climate</t>
  </si>
  <si>
    <t>Europe</t>
  </si>
  <si>
    <t>SFDR Art 9, TCFD</t>
  </si>
  <si>
    <t>Proprietary SDG framework</t>
  </si>
  <si>
    <t>ISR Label</t>
  </si>
  <si>
    <t>Structured Impact</t>
  </si>
  <si>
    <t>F003</t>
  </si>
  <si>
    <t>Triodos Renewables Europe Fund</t>
  </si>
  <si>
    <t>Private Equity</t>
  </si>
  <si>
    <t>Climate</t>
  </si>
  <si>
    <t>IRIS+</t>
  </si>
  <si>
    <t>F004</t>
  </si>
  <si>
    <t>Mirova Europe Sustainable Equity</t>
  </si>
  <si>
    <t>Mirova</t>
  </si>
  <si>
    <t>France</t>
  </si>
  <si>
    <t>Climate+Social</t>
  </si>
  <si>
    <t>GIIN standards</t>
  </si>
  <si>
    <t>Greenfin Label</t>
  </si>
  <si>
    <t>F005</t>
  </si>
  <si>
    <t>BlueOrchard Microfinance Leaders</t>
  </si>
  <si>
    <t>BlueOrchard</t>
  </si>
  <si>
    <t>IRIS+, IMP</t>
  </si>
  <si>
    <t>F006</t>
  </si>
  <si>
    <t>Actiam Impact Fund Netherlands</t>
  </si>
  <si>
    <t>Actiam</t>
  </si>
  <si>
    <t>Social Impact</t>
  </si>
  <si>
    <t>Proprietary framework</t>
  </si>
  <si>
    <t>F007</t>
  </si>
  <si>
    <t>BNP Paribas Parvest Climate Impact</t>
  </si>
  <si>
    <t>BNP Paribas AM</t>
  </si>
  <si>
    <t>Public Equity</t>
  </si>
  <si>
    <t>Europe+Global</t>
  </si>
  <si>
    <t>Climate framework</t>
  </si>
  <si>
    <t>Towards Sustainability</t>
  </si>
  <si>
    <t>F008</t>
  </si>
  <si>
    <t>PhiTrust Partenaires</t>
  </si>
  <si>
    <t>PhiTrust</t>
  </si>
  <si>
    <t>Social+Economic</t>
  </si>
  <si>
    <t>Africa</t>
  </si>
  <si>
    <t>PRI framework</t>
  </si>
  <si>
    <t>GIIN</t>
  </si>
  <si>
    <t>F009</t>
  </si>
  <si>
    <t>AENU Climate Tech Fund</t>
  </si>
  <si>
    <t>AENU VC</t>
  </si>
  <si>
    <t>Germany</t>
  </si>
  <si>
    <t>Venture Capital</t>
  </si>
  <si>
    <t>Proprietary</t>
  </si>
  <si>
    <t>No</t>
  </si>
  <si>
    <t>Medium</t>
  </si>
  <si>
    <t>Limited Disclosure</t>
  </si>
  <si>
    <t>F010</t>
  </si>
  <si>
    <t>Green Gateway Fund</t>
  </si>
  <si>
    <t>Wermuth Asset Mgmt</t>
  </si>
  <si>
    <t>Climate+Energy</t>
  </si>
  <si>
    <t>Closed</t>
  </si>
  <si>
    <t>Metric</t>
  </si>
  <si>
    <t>Value</t>
  </si>
  <si>
    <t>Total Funds</t>
  </si>
  <si>
    <t>Total AUM (USD)</t>
  </si>
  <si>
    <t>Average AUM (USD)</t>
  </si>
  <si>
    <t>Active Funds</t>
  </si>
  <si>
    <t>Closed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</si>
</sst>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topLeftCell="Q1" workbookViewId="0">
      <selection activeCell="AA14" sqref="AA14"/>
    </sheetView>
  </sheetViews>
  <sheetFormatPr defaultRowHeight="14.4" x14ac:dyDescent="0.3"/>
  <cols>
    <col min="1" max="1" width="9" customWidth="1"/>
    <col min="2" max="2" width="37" customWidth="1"/>
    <col min="3" max="3" width="20" customWidth="1"/>
    <col min="4" max="5" width="15" customWidth="1"/>
    <col min="6" max="6" width="19" customWidth="1"/>
    <col min="7" max="7" width="17" customWidth="1"/>
    <col min="8" max="8" width="12" customWidth="1"/>
    <col min="9" max="9" width="22" customWidth="1"/>
    <col min="10" max="10" width="20" customWidth="1"/>
    <col min="11" max="11" width="21" customWidth="1"/>
    <col min="12" max="12" width="27" customWidth="1"/>
    <col min="13" max="13" width="24" customWidth="1"/>
    <col min="14" max="14" width="28" customWidth="1"/>
    <col min="15" max="15" width="17" customWidth="1"/>
    <col min="16" max="16" width="11" customWidth="1"/>
    <col min="17" max="17" width="13" customWidth="1"/>
    <col min="18" max="18" width="6" customWidth="1"/>
    <col min="19" max="19" width="5" customWidth="1"/>
    <col min="20" max="20" width="13" customWidth="1"/>
    <col min="21" max="21" width="14" customWidth="1"/>
    <col min="22" max="22" width="24.77734375" customWidth="1"/>
    <col min="23" max="23" width="27.109375" customWidth="1"/>
    <col min="24" max="24" width="20.21875" customWidth="1"/>
    <col min="25" max="25" width="18.44140625" customWidth="1"/>
    <col min="26" max="26" width="22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>
        <v>2009</v>
      </c>
      <c r="F2">
        <v>500000000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T2" t="s">
        <v>39</v>
      </c>
      <c r="U2" t="s">
        <v>40</v>
      </c>
      <c r="V2">
        <v>15</v>
      </c>
      <c r="W2">
        <v>15</v>
      </c>
      <c r="X2">
        <v>25</v>
      </c>
      <c r="Y2">
        <v>5</v>
      </c>
      <c r="Z2">
        <v>60</v>
      </c>
      <c r="AA2" t="s">
        <v>41</v>
      </c>
    </row>
    <row r="3" spans="1:27" x14ac:dyDescent="0.3">
      <c r="A3" t="s">
        <v>42</v>
      </c>
      <c r="B3" t="s">
        <v>43</v>
      </c>
      <c r="C3" t="s">
        <v>44</v>
      </c>
      <c r="D3" t="s">
        <v>45</v>
      </c>
      <c r="E3">
        <v>2020</v>
      </c>
      <c r="F3">
        <v>1000000000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38</v>
      </c>
      <c r="T3" t="s">
        <v>39</v>
      </c>
      <c r="U3" t="s">
        <v>40</v>
      </c>
      <c r="V3">
        <v>15</v>
      </c>
      <c r="W3">
        <v>20</v>
      </c>
      <c r="X3">
        <v>25</v>
      </c>
      <c r="Y3">
        <v>15</v>
      </c>
      <c r="Z3">
        <v>75</v>
      </c>
      <c r="AA3" t="s">
        <v>53</v>
      </c>
    </row>
    <row r="4" spans="1:27" x14ac:dyDescent="0.3">
      <c r="A4" t="s">
        <v>54</v>
      </c>
      <c r="B4" t="s">
        <v>55</v>
      </c>
      <c r="C4" t="s">
        <v>29</v>
      </c>
      <c r="D4" t="s">
        <v>30</v>
      </c>
      <c r="E4">
        <v>2006</v>
      </c>
      <c r="F4">
        <v>300000000</v>
      </c>
      <c r="G4" t="s">
        <v>56</v>
      </c>
      <c r="H4" t="s">
        <v>47</v>
      </c>
      <c r="I4" t="s">
        <v>57</v>
      </c>
      <c r="J4" t="s">
        <v>49</v>
      </c>
      <c r="K4" t="s">
        <v>35</v>
      </c>
      <c r="L4" t="s">
        <v>58</v>
      </c>
      <c r="M4" t="s">
        <v>37</v>
      </c>
      <c r="N4" t="s">
        <v>38</v>
      </c>
      <c r="T4" t="s">
        <v>39</v>
      </c>
      <c r="U4" t="s">
        <v>40</v>
      </c>
      <c r="V4">
        <v>15</v>
      </c>
      <c r="W4">
        <v>15</v>
      </c>
      <c r="X4">
        <v>25</v>
      </c>
      <c r="Y4">
        <v>5</v>
      </c>
      <c r="Z4">
        <v>60</v>
      </c>
      <c r="AA4" t="s">
        <v>41</v>
      </c>
    </row>
    <row r="5" spans="1:27" x14ac:dyDescent="0.3">
      <c r="A5" t="s">
        <v>59</v>
      </c>
      <c r="B5" t="s">
        <v>60</v>
      </c>
      <c r="C5" t="s">
        <v>61</v>
      </c>
      <c r="D5" t="s">
        <v>62</v>
      </c>
      <c r="E5">
        <v>2012</v>
      </c>
      <c r="F5">
        <v>800000000</v>
      </c>
      <c r="G5" t="s">
        <v>46</v>
      </c>
      <c r="H5" t="s">
        <v>47</v>
      </c>
      <c r="I5" t="s">
        <v>63</v>
      </c>
      <c r="J5" t="s">
        <v>49</v>
      </c>
      <c r="K5" t="s">
        <v>50</v>
      </c>
      <c r="L5" t="s">
        <v>64</v>
      </c>
      <c r="M5" t="s">
        <v>65</v>
      </c>
      <c r="N5" t="s">
        <v>38</v>
      </c>
      <c r="T5" t="s">
        <v>39</v>
      </c>
      <c r="U5" t="s">
        <v>40</v>
      </c>
      <c r="V5">
        <v>15</v>
      </c>
      <c r="W5">
        <v>20</v>
      </c>
      <c r="X5">
        <v>25</v>
      </c>
      <c r="Y5">
        <v>15</v>
      </c>
      <c r="Z5">
        <v>75</v>
      </c>
      <c r="AA5" t="s">
        <v>53</v>
      </c>
    </row>
    <row r="6" spans="1:27" x14ac:dyDescent="0.3">
      <c r="A6" t="s">
        <v>66</v>
      </c>
      <c r="B6" t="s">
        <v>67</v>
      </c>
      <c r="C6" t="s">
        <v>68</v>
      </c>
      <c r="D6" t="s">
        <v>45</v>
      </c>
      <c r="E6">
        <v>2007</v>
      </c>
      <c r="F6">
        <v>450000000</v>
      </c>
      <c r="G6" t="s">
        <v>31</v>
      </c>
      <c r="H6" t="s">
        <v>47</v>
      </c>
      <c r="I6" t="s">
        <v>33</v>
      </c>
      <c r="J6" t="s">
        <v>34</v>
      </c>
      <c r="K6" t="s">
        <v>35</v>
      </c>
      <c r="L6" t="s">
        <v>69</v>
      </c>
      <c r="M6" t="s">
        <v>37</v>
      </c>
      <c r="N6" t="s">
        <v>38</v>
      </c>
      <c r="T6" t="s">
        <v>39</v>
      </c>
      <c r="U6" t="s">
        <v>40</v>
      </c>
      <c r="V6">
        <v>15</v>
      </c>
      <c r="W6">
        <v>15</v>
      </c>
      <c r="X6">
        <v>25</v>
      </c>
      <c r="Y6">
        <v>5</v>
      </c>
      <c r="Z6">
        <v>60</v>
      </c>
      <c r="AA6" t="s">
        <v>41</v>
      </c>
    </row>
    <row r="7" spans="1:27" x14ac:dyDescent="0.3">
      <c r="A7" t="s">
        <v>70</v>
      </c>
      <c r="B7" t="s">
        <v>71</v>
      </c>
      <c r="C7" t="s">
        <v>72</v>
      </c>
      <c r="D7" t="s">
        <v>30</v>
      </c>
      <c r="E7">
        <v>2015</v>
      </c>
      <c r="F7">
        <v>250000000</v>
      </c>
      <c r="G7" t="s">
        <v>56</v>
      </c>
      <c r="H7" t="s">
        <v>47</v>
      </c>
      <c r="I7" t="s">
        <v>73</v>
      </c>
      <c r="J7" t="s">
        <v>30</v>
      </c>
      <c r="K7" t="s">
        <v>35</v>
      </c>
      <c r="L7" t="s">
        <v>74</v>
      </c>
      <c r="M7" t="s">
        <v>37</v>
      </c>
      <c r="N7" t="s">
        <v>38</v>
      </c>
      <c r="T7" t="s">
        <v>39</v>
      </c>
      <c r="U7" t="s">
        <v>40</v>
      </c>
      <c r="V7">
        <v>15</v>
      </c>
      <c r="W7">
        <v>15</v>
      </c>
      <c r="X7">
        <v>25</v>
      </c>
      <c r="Y7">
        <v>5</v>
      </c>
      <c r="Z7">
        <v>60</v>
      </c>
      <c r="AA7" t="s">
        <v>41</v>
      </c>
    </row>
    <row r="8" spans="1:27" x14ac:dyDescent="0.3">
      <c r="A8" t="s">
        <v>75</v>
      </c>
      <c r="B8" t="s">
        <v>76</v>
      </c>
      <c r="C8" t="s">
        <v>77</v>
      </c>
      <c r="D8" t="s">
        <v>45</v>
      </c>
      <c r="E8">
        <v>2009</v>
      </c>
      <c r="F8">
        <v>471000000</v>
      </c>
      <c r="G8" t="s">
        <v>78</v>
      </c>
      <c r="H8" t="s">
        <v>47</v>
      </c>
      <c r="I8" t="s">
        <v>57</v>
      </c>
      <c r="J8" t="s">
        <v>79</v>
      </c>
      <c r="K8" t="s">
        <v>50</v>
      </c>
      <c r="L8" t="s">
        <v>80</v>
      </c>
      <c r="M8" t="s">
        <v>81</v>
      </c>
      <c r="N8" t="s">
        <v>38</v>
      </c>
      <c r="T8" t="s">
        <v>39</v>
      </c>
      <c r="U8" t="s">
        <v>40</v>
      </c>
      <c r="V8">
        <v>15</v>
      </c>
      <c r="W8">
        <v>20</v>
      </c>
      <c r="X8">
        <v>25</v>
      </c>
      <c r="Y8">
        <v>15</v>
      </c>
      <c r="Z8">
        <v>75</v>
      </c>
      <c r="AA8" t="s">
        <v>53</v>
      </c>
    </row>
    <row r="9" spans="1:27" x14ac:dyDescent="0.3">
      <c r="A9" t="s">
        <v>82</v>
      </c>
      <c r="B9" t="s">
        <v>83</v>
      </c>
      <c r="C9" t="s">
        <v>84</v>
      </c>
      <c r="D9" t="s">
        <v>62</v>
      </c>
      <c r="E9">
        <v>2006</v>
      </c>
      <c r="F9">
        <v>300000000</v>
      </c>
      <c r="G9" t="s">
        <v>56</v>
      </c>
      <c r="H9" t="s">
        <v>47</v>
      </c>
      <c r="I9" t="s">
        <v>85</v>
      </c>
      <c r="J9" t="s">
        <v>86</v>
      </c>
      <c r="K9" t="s">
        <v>87</v>
      </c>
      <c r="L9" t="s">
        <v>88</v>
      </c>
      <c r="M9" t="s">
        <v>37</v>
      </c>
      <c r="N9" t="s">
        <v>38</v>
      </c>
      <c r="T9" t="s">
        <v>39</v>
      </c>
      <c r="U9" t="s">
        <v>40</v>
      </c>
      <c r="V9">
        <v>15</v>
      </c>
      <c r="W9">
        <v>15</v>
      </c>
      <c r="X9">
        <v>25</v>
      </c>
      <c r="Y9">
        <v>5</v>
      </c>
      <c r="Z9">
        <v>60</v>
      </c>
      <c r="AA9" t="s">
        <v>41</v>
      </c>
    </row>
    <row r="10" spans="1:27" x14ac:dyDescent="0.3">
      <c r="A10" t="s">
        <v>89</v>
      </c>
      <c r="B10" t="s">
        <v>90</v>
      </c>
      <c r="C10" t="s">
        <v>91</v>
      </c>
      <c r="D10" t="s">
        <v>92</v>
      </c>
      <c r="E10">
        <v>2021</v>
      </c>
      <c r="F10">
        <v>150000000</v>
      </c>
      <c r="G10" t="s">
        <v>93</v>
      </c>
      <c r="H10" t="s">
        <v>47</v>
      </c>
      <c r="I10" t="s">
        <v>57</v>
      </c>
      <c r="J10" t="s">
        <v>49</v>
      </c>
      <c r="K10" t="s">
        <v>35</v>
      </c>
      <c r="L10" t="s">
        <v>94</v>
      </c>
      <c r="M10" t="s">
        <v>95</v>
      </c>
      <c r="N10" t="s">
        <v>38</v>
      </c>
      <c r="T10" t="s">
        <v>39</v>
      </c>
      <c r="U10" t="s">
        <v>96</v>
      </c>
      <c r="V10">
        <v>15</v>
      </c>
      <c r="W10">
        <v>15</v>
      </c>
      <c r="X10">
        <v>18</v>
      </c>
      <c r="Y10">
        <v>5</v>
      </c>
      <c r="Z10">
        <v>53</v>
      </c>
      <c r="AA10" t="s">
        <v>97</v>
      </c>
    </row>
    <row r="11" spans="1:27" x14ac:dyDescent="0.3">
      <c r="A11" t="s">
        <v>98</v>
      </c>
      <c r="B11" t="s">
        <v>99</v>
      </c>
      <c r="C11" t="s">
        <v>100</v>
      </c>
      <c r="D11" t="s">
        <v>92</v>
      </c>
      <c r="E11">
        <v>2011</v>
      </c>
      <c r="F11">
        <v>110000000</v>
      </c>
      <c r="G11" t="s">
        <v>56</v>
      </c>
      <c r="H11" t="s">
        <v>47</v>
      </c>
      <c r="I11" t="s">
        <v>101</v>
      </c>
      <c r="J11" t="s">
        <v>49</v>
      </c>
      <c r="K11" t="s">
        <v>35</v>
      </c>
      <c r="L11" t="s">
        <v>58</v>
      </c>
      <c r="M11" t="s">
        <v>37</v>
      </c>
      <c r="N11" t="s">
        <v>38</v>
      </c>
      <c r="T11" t="s">
        <v>102</v>
      </c>
      <c r="U11" t="s">
        <v>40</v>
      </c>
      <c r="V11">
        <v>15</v>
      </c>
      <c r="W11">
        <v>15</v>
      </c>
      <c r="X11">
        <v>25</v>
      </c>
      <c r="Y11">
        <v>5</v>
      </c>
      <c r="Z11">
        <v>60</v>
      </c>
      <c r="AA11" t="s">
        <v>41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32.21875" customWidth="1"/>
    <col min="2" max="2" width="15.88671875" customWidth="1"/>
  </cols>
  <sheetData>
    <row r="1" spans="1:2" x14ac:dyDescent="0.3">
      <c r="A1" s="1" t="s">
        <v>103</v>
      </c>
      <c r="B1" s="1" t="s">
        <v>104</v>
      </c>
    </row>
    <row r="2" spans="1:2" x14ac:dyDescent="0.3">
      <c r="A2" t="s">
        <v>105</v>
      </c>
      <c r="B2">
        <f>COUNTA(Fund_Data!A2:A100)</f>
        <v>10</v>
      </c>
    </row>
    <row r="3" spans="1:2" x14ac:dyDescent="0.3">
      <c r="A3" t="s">
        <v>106</v>
      </c>
      <c r="B3">
        <f>SUM(Fund_Data!F2:F100)</f>
        <v>4331000000</v>
      </c>
    </row>
    <row r="4" spans="1:2" x14ac:dyDescent="0.3">
      <c r="A4" t="s">
        <v>107</v>
      </c>
      <c r="B4">
        <f>AVERAGE(Fund_Data!F2:F100)</f>
        <v>433100000</v>
      </c>
    </row>
    <row r="5" spans="1:2" x14ac:dyDescent="0.3">
      <c r="A5" t="s">
        <v>108</v>
      </c>
      <c r="B5">
        <f>COUNTIF(Fund_Data!T2:T100,"Active")</f>
        <v>9</v>
      </c>
    </row>
    <row r="6" spans="1:2" x14ac:dyDescent="0.3">
      <c r="A6" t="s">
        <v>109</v>
      </c>
      <c r="B6">
        <f>COUNTIF(Fund_Data!T2:T100,"Closed")</f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Fund_Data</vt:lpstr>
      <vt:lpstr>Quant_Analysis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T</cp:lastModifiedBy>
  <cp:lastPrinted>2026-02-15T14:22:23Z</cp:lastPrinted>
  <dcterms:created xsi:type="dcterms:W3CDTF">2026-02-15T13:38:17Z</dcterms:created>
  <dcterms:modified xsi:type="dcterms:W3CDTF">2026-02-15T14:22:59Z</dcterms:modified>
</cp:coreProperties>
</file>